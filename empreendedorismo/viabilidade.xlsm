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Arquivos\"/>
    </mc:Choice>
  </mc:AlternateContent>
  <xr:revisionPtr revIDLastSave="0" documentId="8_{07FCFBB9-241B-4572-975D-5E32BBA148D1}" xr6:coauthVersionLast="47" xr6:coauthVersionMax="47" xr10:uidLastSave="{00000000-0000-0000-0000-000000000000}"/>
  <bookViews>
    <workbookView xWindow="19200" yWindow="0" windowWidth="19200" windowHeight="15600" xr2:uid="{00000000-000D-0000-FFFF-FFFF00000000}"/>
  </bookViews>
  <sheets>
    <sheet name="Resumo" sheetId="4" r:id="rId1"/>
    <sheet name="Análise Fluxo" sheetId="1" r:id="rId2"/>
    <sheet name="Faturamento" sheetId="2" r:id="rId3"/>
  </sheets>
  <functionGroups builtInGroupCount="19"/>
  <calcPr calcId="191029"/>
</workbook>
</file>

<file path=xl/calcChain.xml><?xml version="1.0" encoding="utf-8"?>
<calcChain xmlns="http://schemas.openxmlformats.org/spreadsheetml/2006/main">
  <c r="D13" i="1" l="1"/>
  <c r="E13" i="1"/>
  <c r="F13" i="1"/>
  <c r="G13" i="1"/>
  <c r="C13" i="1"/>
  <c r="G14" i="1"/>
  <c r="F14" i="1"/>
  <c r="E14" i="1"/>
  <c r="D14" i="1"/>
  <c r="C14" i="1"/>
  <c r="C16" i="2" l="1"/>
  <c r="D16" i="2"/>
  <c r="E16" i="2"/>
  <c r="F16" i="2"/>
  <c r="G16" i="2"/>
  <c r="C10" i="2"/>
  <c r="D10" i="2"/>
  <c r="E10" i="2"/>
  <c r="F10" i="2"/>
  <c r="G10" i="2"/>
  <c r="B10" i="2"/>
  <c r="B16" i="2"/>
  <c r="B14" i="1" s="1"/>
  <c r="H14" i="1" s="1"/>
  <c r="H12" i="1" l="1"/>
  <c r="H11" i="1"/>
  <c r="H10" i="1"/>
  <c r="G14" i="2"/>
  <c r="F14" i="2"/>
  <c r="E14" i="2"/>
  <c r="D14" i="2"/>
  <c r="C14" i="2"/>
  <c r="B14" i="2"/>
  <c r="H15" i="1" l="1"/>
  <c r="H16" i="1"/>
  <c r="G9" i="1"/>
  <c r="F9" i="1"/>
  <c r="E9" i="1"/>
  <c r="D9" i="1"/>
  <c r="C9" i="1"/>
  <c r="B9" i="1"/>
  <c r="H9" i="1"/>
  <c r="H9" i="4" s="1"/>
  <c r="B13" i="1"/>
  <c r="D18" i="1" l="1"/>
  <c r="D19" i="1" s="1"/>
  <c r="C18" i="1"/>
  <c r="C19" i="1" s="1"/>
  <c r="E18" i="1"/>
  <c r="E19" i="1" s="1"/>
  <c r="B18" i="1"/>
  <c r="B19" i="1" l="1"/>
  <c r="B20" i="1" s="1"/>
  <c r="F18" i="1"/>
  <c r="H17" i="1"/>
  <c r="G18" i="1"/>
  <c r="G19" i="1" s="1"/>
  <c r="B23" i="1" l="1"/>
  <c r="H15" i="4" s="1"/>
  <c r="C20" i="1"/>
  <c r="H13" i="1"/>
  <c r="H11" i="4" s="1"/>
  <c r="F19" i="1"/>
  <c r="B25" i="1"/>
  <c r="H10" i="4" s="1"/>
  <c r="B22" i="1"/>
  <c r="H18" i="1"/>
  <c r="H12" i="4" s="1"/>
  <c r="D20" i="1" l="1"/>
  <c r="H19" i="1"/>
  <c r="H13" i="4" s="1"/>
  <c r="E20" i="1" l="1"/>
  <c r="F20" i="1" l="1"/>
  <c r="G20" i="1" l="1"/>
  <c r="B24" i="1"/>
  <c r="H14" i="4" l="1"/>
</calcChain>
</file>

<file path=xl/sharedStrings.xml><?xml version="1.0" encoding="utf-8"?>
<sst xmlns="http://schemas.openxmlformats.org/spreadsheetml/2006/main" count="35" uniqueCount="29">
  <si>
    <t>Projeto</t>
  </si>
  <si>
    <t>Operacionais</t>
  </si>
  <si>
    <t>Total</t>
  </si>
  <si>
    <t>Valor</t>
  </si>
  <si>
    <t>Fluxo Líquido</t>
  </si>
  <si>
    <t>fcl descontado</t>
  </si>
  <si>
    <t>fcl desc Acum</t>
  </si>
  <si>
    <t>Taxa mínima ret. Inv.</t>
  </si>
  <si>
    <t>Payback Descontado</t>
  </si>
  <si>
    <t>VPL</t>
  </si>
  <si>
    <t>TIR</t>
  </si>
  <si>
    <t>Capital Requerido</t>
  </si>
  <si>
    <t>Alíquota Simples</t>
  </si>
  <si>
    <t>Faturamento presumido</t>
  </si>
  <si>
    <t>Investimento Projeto</t>
  </si>
  <si>
    <t>Resultado Operacional</t>
  </si>
  <si>
    <t>Fluxo Líquido Descontado</t>
  </si>
  <si>
    <t>Taxa de retorno de investimento</t>
  </si>
  <si>
    <t>INDICADORES</t>
  </si>
  <si>
    <t>Montagem da fábrica</t>
  </si>
  <si>
    <t>Desenvolvimento do sistema</t>
  </si>
  <si>
    <t>Propaganda</t>
  </si>
  <si>
    <t>Manutenção do sistema</t>
  </si>
  <si>
    <t>Produção</t>
  </si>
  <si>
    <t>Logística</t>
  </si>
  <si>
    <t>Produto + Sistema</t>
  </si>
  <si>
    <t>Quantidade</t>
  </si>
  <si>
    <t>Produto</t>
  </si>
  <si>
    <t>Receitas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</si>
</sst>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0_);\(0\)"/>
    <numFmt numFmtId="167" formatCode="_(* #,##0_);_(* \(#,##0\);_(* &quot;-&quot;??_);_(@_)"/>
    <numFmt numFmtId="168" formatCode="_-[$R$-416]* #,##0.00_-;\-[$R$-416]* #,##0.00_-;_-[$R$-416]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5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indexed="64"/>
      </top>
      <bottom style="hair">
        <color indexed="64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7">
    <xf numFmtId="0" fontId="0" fillId="0" borderId="0" xfId="0"/>
    <xf numFmtId="165" fontId="1" fillId="0" borderId="0" xfId="3" applyFont="1"/>
    <xf numFmtId="0" fontId="0" fillId="0" borderId="1" xfId="0" applyBorder="1"/>
    <xf numFmtId="17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167" fontId="3" fillId="0" borderId="0" xfId="3" applyNumberFormat="1" applyFont="1" applyBorder="1" applyAlignment="1">
      <alignment horizontal="center"/>
    </xf>
    <xf numFmtId="0" fontId="0" fillId="0" borderId="3" xfId="0" applyBorder="1"/>
    <xf numFmtId="165" fontId="0" fillId="0" borderId="3" xfId="0" applyNumberFormat="1" applyBorder="1"/>
    <xf numFmtId="0" fontId="3" fillId="0" borderId="4" xfId="0" applyFont="1" applyBorder="1"/>
    <xf numFmtId="165" fontId="3" fillId="0" borderId="5" xfId="0" applyNumberFormat="1" applyFont="1" applyBorder="1"/>
    <xf numFmtId="0" fontId="4" fillId="0" borderId="3" xfId="0" applyFont="1" applyBorder="1"/>
    <xf numFmtId="165" fontId="4" fillId="0" borderId="3" xfId="0" applyNumberFormat="1" applyFont="1" applyBorder="1"/>
    <xf numFmtId="0" fontId="4" fillId="0" borderId="2" xfId="0" applyFont="1" applyBorder="1"/>
    <xf numFmtId="165" fontId="4" fillId="0" borderId="2" xfId="0" applyNumberFormat="1" applyFont="1" applyBorder="1"/>
    <xf numFmtId="0" fontId="0" fillId="0" borderId="6" xfId="0" applyBorder="1"/>
    <xf numFmtId="165" fontId="0" fillId="0" borderId="6" xfId="0" applyNumberFormat="1" applyBorder="1"/>
    <xf numFmtId="0" fontId="0" fillId="0" borderId="7" xfId="0" applyBorder="1"/>
    <xf numFmtId="166" fontId="0" fillId="0" borderId="7" xfId="0" applyNumberFormat="1" applyBorder="1" applyAlignment="1">
      <alignment horizontal="right"/>
    </xf>
    <xf numFmtId="0" fontId="0" fillId="0" borderId="8" xfId="0" applyBorder="1"/>
    <xf numFmtId="166" fontId="0" fillId="0" borderId="8" xfId="0" applyNumberFormat="1" applyBorder="1" applyAlignment="1">
      <alignment horizontal="right"/>
    </xf>
    <xf numFmtId="0" fontId="0" fillId="0" borderId="9" xfId="0" applyBorder="1"/>
    <xf numFmtId="166" fontId="0" fillId="0" borderId="9" xfId="0" applyNumberFormat="1" applyBorder="1" applyAlignment="1">
      <alignment horizontal="right"/>
    </xf>
    <xf numFmtId="0" fontId="0" fillId="0" borderId="10" xfId="0" applyBorder="1"/>
    <xf numFmtId="166" fontId="0" fillId="0" borderId="10" xfId="0" applyNumberFormat="1" applyBorder="1" applyAlignment="1">
      <alignment horizontal="right"/>
    </xf>
    <xf numFmtId="0" fontId="2" fillId="2" borderId="1" xfId="0" applyFont="1" applyFill="1" applyBorder="1" applyAlignment="1">
      <alignment horizontal="center"/>
    </xf>
    <xf numFmtId="1" fontId="2" fillId="2" borderId="1" xfId="0" applyNumberFormat="1" applyFont="1" applyFill="1" applyBorder="1" applyAlignment="1">
      <alignment horizontal="right"/>
    </xf>
    <xf numFmtId="0" fontId="6" fillId="0" borderId="11" xfId="0" applyFont="1" applyBorder="1" applyAlignment="1">
      <alignment horizontal="centerContinuous"/>
    </xf>
    <xf numFmtId="0" fontId="3" fillId="0" borderId="11" xfId="0" applyFont="1" applyBorder="1" applyAlignment="1">
      <alignment horizontal="centerContinuous"/>
    </xf>
    <xf numFmtId="0" fontId="5" fillId="0" borderId="12" xfId="0" applyFont="1" applyBorder="1"/>
    <xf numFmtId="168" fontId="5" fillId="0" borderId="13" xfId="0" applyNumberFormat="1" applyFont="1" applyBorder="1"/>
    <xf numFmtId="0" fontId="5" fillId="0" borderId="13" xfId="0" applyFont="1" applyBorder="1"/>
    <xf numFmtId="0" fontId="5" fillId="0" borderId="14" xfId="0" applyFont="1" applyBorder="1"/>
    <xf numFmtId="10" fontId="5" fillId="0" borderId="15" xfId="0" applyNumberFormat="1" applyFont="1" applyBorder="1"/>
    <xf numFmtId="0" fontId="5" fillId="0" borderId="16" xfId="0" applyFont="1" applyBorder="1"/>
    <xf numFmtId="168" fontId="7" fillId="0" borderId="17" xfId="0" applyNumberFormat="1" applyFont="1" applyBorder="1"/>
    <xf numFmtId="168" fontId="7" fillId="0" borderId="13" xfId="0" applyNumberFormat="1" applyFont="1" applyBorder="1"/>
    <xf numFmtId="0" fontId="0" fillId="0" borderId="3" xfId="0" applyFont="1" applyBorder="1"/>
    <xf numFmtId="0" fontId="4" fillId="3" borderId="3" xfId="0" applyFont="1" applyFill="1" applyBorder="1"/>
    <xf numFmtId="165" fontId="4" fillId="3" borderId="3" xfId="0" applyNumberFormat="1" applyFont="1" applyFill="1" applyBorder="1"/>
    <xf numFmtId="0" fontId="3" fillId="3" borderId="4" xfId="0" applyFont="1" applyFill="1" applyBorder="1"/>
    <xf numFmtId="17" fontId="3" fillId="3" borderId="5" xfId="0" applyNumberFormat="1" applyFont="1" applyFill="1" applyBorder="1"/>
    <xf numFmtId="165" fontId="0" fillId="0" borderId="3" xfId="0" applyNumberFormat="1" applyFont="1" applyBorder="1"/>
    <xf numFmtId="0" fontId="0" fillId="0" borderId="0" xfId="0" applyBorder="1"/>
    <xf numFmtId="164" fontId="1" fillId="0" borderId="1" xfId="1" applyFont="1" applyFill="1" applyBorder="1" applyAlignment="1">
      <alignment horizontal="right"/>
    </xf>
    <xf numFmtId="10" fontId="1" fillId="0" borderId="1" xfId="2" applyNumberFormat="1" applyFont="1" applyFill="1" applyBorder="1" applyAlignment="1">
      <alignment horizontal="right"/>
    </xf>
    <xf numFmtId="166" fontId="0" fillId="0" borderId="1" xfId="0" applyNumberFormat="1" applyBorder="1" applyAlignment="1">
      <alignment horizontal="right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352436</xdr:colOff>
      <xdr:row>4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811136" cy="771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14505</xdr:colOff>
      <xdr:row>4</xdr:row>
      <xdr:rowOff>9525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811136" cy="7715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552461</xdr:colOff>
      <xdr:row>4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811136" cy="771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G8:H15"/>
  <sheetViews>
    <sheetView showGridLines="0" tabSelected="1" workbookViewId="0">
      <selection activeCell="H22" sqref="H22"/>
    </sheetView>
  </sheetViews>
  <sheetFormatPr defaultRowHeight="15" x14ac:dyDescent="0.25"/>
  <cols>
    <col min="6" max="6" width="13" customWidth="1"/>
    <col min="7" max="7" width="41.5703125" bestFit="1" customWidth="1"/>
    <col min="8" max="8" width="22.5703125" bestFit="1" customWidth="1"/>
  </cols>
  <sheetData>
    <row r="8" spans="7:8" ht="20.25" thickBot="1" x14ac:dyDescent="0.35">
      <c r="G8" s="27" t="s">
        <v>18</v>
      </c>
      <c r="H8" s="28"/>
    </row>
    <row r="9" spans="7:8" ht="20.25" thickTop="1" x14ac:dyDescent="0.3">
      <c r="G9" s="34" t="s">
        <v>14</v>
      </c>
      <c r="H9" s="35">
        <f>'Análise Fluxo'!H9</f>
        <v>-56000</v>
      </c>
    </row>
    <row r="10" spans="7:8" ht="19.5" x14ac:dyDescent="0.3">
      <c r="G10" s="29" t="s">
        <v>11</v>
      </c>
      <c r="H10" s="36">
        <f>'Análise Fluxo'!B25</f>
        <v>5990</v>
      </c>
    </row>
    <row r="11" spans="7:8" ht="19.5" x14ac:dyDescent="0.3">
      <c r="G11" s="29" t="s">
        <v>15</v>
      </c>
      <c r="H11" s="30">
        <f>'Análise Fluxo'!H13</f>
        <v>70950</v>
      </c>
    </row>
    <row r="12" spans="7:8" ht="19.5" x14ac:dyDescent="0.3">
      <c r="G12" s="29" t="s">
        <v>4</v>
      </c>
      <c r="H12" s="30">
        <f>'Análise Fluxo'!H18</f>
        <v>14950</v>
      </c>
    </row>
    <row r="13" spans="7:8" ht="19.5" x14ac:dyDescent="0.3">
      <c r="G13" s="29" t="s">
        <v>16</v>
      </c>
      <c r="H13" s="30">
        <f>'Análise Fluxo'!H19</f>
        <v>13073.085155129458</v>
      </c>
    </row>
    <row r="14" spans="7:8" ht="19.5" x14ac:dyDescent="0.3">
      <c r="G14" s="29" t="s">
        <v>8</v>
      </c>
      <c r="H14" s="31" t="str">
        <f ca="1">'Análise Fluxo'!B24</f>
        <v>4 meses e 25 dias</v>
      </c>
    </row>
    <row r="15" spans="7:8" ht="19.5" x14ac:dyDescent="0.3">
      <c r="G15" s="32" t="s">
        <v>17</v>
      </c>
      <c r="H15" s="33">
        <f>'Análise Fluxo'!B23</f>
        <v>8.5960253976200551E-2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7:H27"/>
  <sheetViews>
    <sheetView showGridLines="0" zoomScaleNormal="100" workbookViewId="0">
      <pane xSplit="1" ySplit="7" topLeftCell="B8" activePane="bottomRight" state="frozen"/>
      <selection pane="topRight" activeCell="B1" sqref="B1"/>
      <selection pane="bottomLeft" activeCell="A2" sqref="A2"/>
      <selection pane="bottomRight" activeCell="F29" sqref="F29"/>
    </sheetView>
  </sheetViews>
  <sheetFormatPr defaultRowHeight="15" x14ac:dyDescent="0.25"/>
  <cols>
    <col min="1" max="1" width="27.28515625" bestFit="1" customWidth="1"/>
    <col min="2" max="2" width="17.42578125" customWidth="1"/>
    <col min="3" max="3" width="15.28515625" bestFit="1" customWidth="1"/>
    <col min="4" max="5" width="12.140625" bestFit="1" customWidth="1"/>
    <col min="6" max="7" width="13.28515625" bestFit="1" customWidth="1"/>
    <col min="8" max="8" width="8" bestFit="1" customWidth="1"/>
  </cols>
  <sheetData>
    <row r="7" spans="1:8" x14ac:dyDescent="0.25">
      <c r="A7" s="2"/>
      <c r="B7" s="3">
        <v>45292</v>
      </c>
      <c r="C7" s="3">
        <v>45323</v>
      </c>
      <c r="D7" s="3">
        <v>45352</v>
      </c>
      <c r="E7" s="3">
        <v>45383</v>
      </c>
      <c r="F7" s="3">
        <v>45413</v>
      </c>
      <c r="G7" s="3">
        <v>45444</v>
      </c>
      <c r="H7" s="4" t="s">
        <v>2</v>
      </c>
    </row>
    <row r="8" spans="1:8" hidden="1" x14ac:dyDescent="0.25">
      <c r="B8" s="6">
        <v>1</v>
      </c>
      <c r="C8" s="6">
        <v>2</v>
      </c>
      <c r="D8" s="6">
        <v>3</v>
      </c>
      <c r="E8" s="6">
        <v>4</v>
      </c>
      <c r="F8" s="6">
        <v>5</v>
      </c>
      <c r="G8" s="6">
        <v>6</v>
      </c>
      <c r="H8" s="5"/>
    </row>
    <row r="9" spans="1:8" x14ac:dyDescent="0.25">
      <c r="A9" s="25" t="s">
        <v>0</v>
      </c>
      <c r="B9" s="26">
        <f t="shared" ref="B9:H9" si="0">SUM(B10:B12)</f>
        <v>-56000</v>
      </c>
      <c r="C9" s="26">
        <f t="shared" si="0"/>
        <v>0</v>
      </c>
      <c r="D9" s="26">
        <f t="shared" si="0"/>
        <v>0</v>
      </c>
      <c r="E9" s="26">
        <f t="shared" si="0"/>
        <v>0</v>
      </c>
      <c r="F9" s="26">
        <f t="shared" si="0"/>
        <v>0</v>
      </c>
      <c r="G9" s="26">
        <f t="shared" si="0"/>
        <v>0</v>
      </c>
      <c r="H9" s="26">
        <f t="shared" si="0"/>
        <v>-56000</v>
      </c>
    </row>
    <row r="10" spans="1:8" x14ac:dyDescent="0.25">
      <c r="A10" s="17" t="s">
        <v>19</v>
      </c>
      <c r="B10" s="18">
        <v>-43000</v>
      </c>
      <c r="C10" s="18">
        <v>0</v>
      </c>
      <c r="D10" s="18">
        <v>0</v>
      </c>
      <c r="E10" s="18">
        <v>0</v>
      </c>
      <c r="F10" s="18">
        <v>0</v>
      </c>
      <c r="G10" s="18">
        <v>0</v>
      </c>
      <c r="H10" s="18">
        <f t="shared" ref="H10:H19" si="1">SUM(B10:G10)</f>
        <v>-43000</v>
      </c>
    </row>
    <row r="11" spans="1:8" x14ac:dyDescent="0.25">
      <c r="A11" s="19" t="s">
        <v>20</v>
      </c>
      <c r="B11" s="20">
        <v>-10000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f t="shared" si="1"/>
        <v>-10000</v>
      </c>
    </row>
    <row r="12" spans="1:8" x14ac:dyDescent="0.25">
      <c r="A12" s="19" t="s">
        <v>21</v>
      </c>
      <c r="B12" s="20">
        <v>-3000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f t="shared" si="1"/>
        <v>-3000</v>
      </c>
    </row>
    <row r="13" spans="1:8" x14ac:dyDescent="0.25">
      <c r="A13" s="25" t="s">
        <v>1</v>
      </c>
      <c r="B13" s="26">
        <f>SUM(B15:B17)</f>
        <v>0</v>
      </c>
      <c r="C13" s="26">
        <f>SUM(C14:C17)</f>
        <v>20700</v>
      </c>
      <c r="D13" s="26">
        <f t="shared" ref="D13:G13" si="2">SUM(D14:D17)</f>
        <v>7160</v>
      </c>
      <c r="E13" s="26">
        <f t="shared" si="2"/>
        <v>6380</v>
      </c>
      <c r="F13" s="26">
        <f t="shared" si="2"/>
        <v>27750</v>
      </c>
      <c r="G13" s="26">
        <f t="shared" si="2"/>
        <v>8960</v>
      </c>
      <c r="H13" s="26">
        <f t="shared" si="1"/>
        <v>70950</v>
      </c>
    </row>
    <row r="14" spans="1:8" x14ac:dyDescent="0.25">
      <c r="A14" s="21" t="s">
        <v>28</v>
      </c>
      <c r="B14" s="22">
        <f>Faturamento!B16</f>
        <v>0</v>
      </c>
      <c r="C14" s="22">
        <f>Faturamento!C16</f>
        <v>21500</v>
      </c>
      <c r="D14" s="22">
        <f>Faturamento!D16</f>
        <v>8000</v>
      </c>
      <c r="E14" s="22">
        <f>Faturamento!E16</f>
        <v>7000</v>
      </c>
      <c r="F14" s="22">
        <f>Faturamento!F16</f>
        <v>28500</v>
      </c>
      <c r="G14" s="22">
        <f>Faturamento!G16</f>
        <v>9500</v>
      </c>
      <c r="H14" s="22">
        <f t="shared" ref="H14" si="3">SUM(B14:G14)</f>
        <v>74500</v>
      </c>
    </row>
    <row r="15" spans="1:8" x14ac:dyDescent="0.25">
      <c r="A15" s="23" t="s">
        <v>23</v>
      </c>
      <c r="B15" s="24">
        <v>0</v>
      </c>
      <c r="C15" s="24">
        <v>-500</v>
      </c>
      <c r="D15" s="24">
        <v>-400</v>
      </c>
      <c r="E15" s="24">
        <v>-300</v>
      </c>
      <c r="F15" s="24">
        <v>-500</v>
      </c>
      <c r="G15" s="24">
        <v>-200</v>
      </c>
      <c r="H15" s="24">
        <f t="shared" si="1"/>
        <v>-1900</v>
      </c>
    </row>
    <row r="16" spans="1:8" x14ac:dyDescent="0.25">
      <c r="A16" s="23" t="s">
        <v>22</v>
      </c>
      <c r="B16" s="24">
        <v>0</v>
      </c>
      <c r="C16" s="24">
        <v>0</v>
      </c>
      <c r="D16" s="24">
        <v>-200</v>
      </c>
      <c r="E16" s="24">
        <v>0</v>
      </c>
      <c r="F16" s="24">
        <v>0</v>
      </c>
      <c r="G16" s="24">
        <v>-150</v>
      </c>
      <c r="H16" s="24">
        <f t="shared" si="1"/>
        <v>-350</v>
      </c>
    </row>
    <row r="17" spans="1:8" x14ac:dyDescent="0.25">
      <c r="A17" s="23" t="s">
        <v>24</v>
      </c>
      <c r="B17" s="24">
        <v>0</v>
      </c>
      <c r="C17" s="24">
        <v>-300</v>
      </c>
      <c r="D17" s="24">
        <v>-240</v>
      </c>
      <c r="E17" s="24">
        <v>-320</v>
      </c>
      <c r="F17" s="24">
        <v>-250</v>
      </c>
      <c r="G17" s="24">
        <v>-190</v>
      </c>
      <c r="H17" s="24">
        <f t="shared" si="1"/>
        <v>-1300</v>
      </c>
    </row>
    <row r="18" spans="1:8" x14ac:dyDescent="0.25">
      <c r="A18" s="25" t="s">
        <v>4</v>
      </c>
      <c r="B18" s="26">
        <f t="shared" ref="B18:G18" si="4">B9+B13</f>
        <v>-56000</v>
      </c>
      <c r="C18" s="26">
        <f t="shared" si="4"/>
        <v>20700</v>
      </c>
      <c r="D18" s="26">
        <f t="shared" si="4"/>
        <v>7160</v>
      </c>
      <c r="E18" s="26">
        <f t="shared" si="4"/>
        <v>6380</v>
      </c>
      <c r="F18" s="26">
        <f t="shared" si="4"/>
        <v>27750</v>
      </c>
      <c r="G18" s="26">
        <f t="shared" si="4"/>
        <v>8960</v>
      </c>
      <c r="H18" s="26">
        <f t="shared" si="1"/>
        <v>14950</v>
      </c>
    </row>
    <row r="19" spans="1:8" x14ac:dyDescent="0.25">
      <c r="A19" s="25" t="s">
        <v>5</v>
      </c>
      <c r="B19" s="26">
        <f>PV($B$26/12,B8,,B18)*-1</f>
        <v>-55523.882705797783</v>
      </c>
      <c r="C19" s="26">
        <f>PV($B$26/12,C8,,C18)*-1</f>
        <v>20349.509598231136</v>
      </c>
      <c r="D19" s="26">
        <f>PV($B$26/12,D8,,D18)*-1</f>
        <v>6978.9233038451293</v>
      </c>
      <c r="E19" s="26">
        <f>PV($B$26/12,E8,,E18)*-1</f>
        <v>6165.7779898448907</v>
      </c>
      <c r="F19" s="26">
        <f>PV($B$26/12,F8,,F18)*-1</f>
        <v>26590.223817939182</v>
      </c>
      <c r="G19" s="26">
        <f>PV($B$26/12,G8,,G18)*-1</f>
        <v>8512.5331510669021</v>
      </c>
      <c r="H19" s="26">
        <f t="shared" si="1"/>
        <v>13073.085155129458</v>
      </c>
    </row>
    <row r="20" spans="1:8" x14ac:dyDescent="0.25">
      <c r="A20" s="25" t="s">
        <v>6</v>
      </c>
      <c r="B20" s="26">
        <f>B19</f>
        <v>-55523.882705797783</v>
      </c>
      <c r="C20" s="26">
        <f>C19+B20</f>
        <v>-35174.373107566644</v>
      </c>
      <c r="D20" s="26">
        <f t="shared" ref="D20:G20" si="5">D19+C20</f>
        <v>-28195.449803721516</v>
      </c>
      <c r="E20" s="26">
        <f>E19+D20</f>
        <v>-22029.671813876626</v>
      </c>
      <c r="F20" s="26">
        <f t="shared" si="5"/>
        <v>4560.5520040625561</v>
      </c>
      <c r="G20" s="26">
        <f t="shared" si="5"/>
        <v>13073.085155129458</v>
      </c>
      <c r="H20" s="26"/>
    </row>
    <row r="22" spans="1:8" x14ac:dyDescent="0.25">
      <c r="A22" s="2" t="s">
        <v>9</v>
      </c>
      <c r="B22" s="44">
        <f>NPV(B26/12,B18:G18)</f>
        <v>13073.085155129453</v>
      </c>
    </row>
    <row r="23" spans="1:8" x14ac:dyDescent="0.25">
      <c r="A23" s="2" t="s">
        <v>10</v>
      </c>
      <c r="B23" s="45">
        <f>IFERROR(IRR(B18:G18),0)</f>
        <v>8.5960253976200551E-2</v>
      </c>
      <c r="C23" s="43"/>
    </row>
    <row r="24" spans="1:8" x14ac:dyDescent="0.25">
      <c r="A24" s="2" t="s">
        <v>8</v>
      </c>
      <c r="B24" s="46" t="str">
        <f ca="1">IFERROR(gfPayback(B20:G20),0)</f>
        <v>4 meses e 25 dias</v>
      </c>
    </row>
    <row r="25" spans="1:8" x14ac:dyDescent="0.25">
      <c r="A25" s="2" t="s">
        <v>11</v>
      </c>
      <c r="B25" s="44">
        <f>SUM(B18:F18)</f>
        <v>5990</v>
      </c>
    </row>
    <row r="26" spans="1:8" x14ac:dyDescent="0.25">
      <c r="A26" s="2" t="s">
        <v>7</v>
      </c>
      <c r="B26" s="45">
        <v>0.10290000000000001</v>
      </c>
    </row>
    <row r="27" spans="1:8" x14ac:dyDescent="0.25">
      <c r="A27" s="2" t="s">
        <v>12</v>
      </c>
      <c r="B27" s="45">
        <v>4.4999999999999998E-2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7:I16"/>
  <sheetViews>
    <sheetView showGridLines="0" workbookViewId="0">
      <selection activeCell="D23" sqref="D23"/>
    </sheetView>
  </sheetViews>
  <sheetFormatPr defaultRowHeight="15" x14ac:dyDescent="0.25"/>
  <cols>
    <col min="1" max="1" width="22.85546875" bestFit="1" customWidth="1"/>
    <col min="2" max="3" width="10.5703125" bestFit="1" customWidth="1"/>
    <col min="4" max="5" width="9.5703125" bestFit="1" customWidth="1"/>
    <col min="6" max="6" width="10.5703125" bestFit="1" customWidth="1"/>
    <col min="7" max="7" width="9.5703125" bestFit="1" customWidth="1"/>
  </cols>
  <sheetData>
    <row r="7" spans="1:9" x14ac:dyDescent="0.25">
      <c r="A7" s="40" t="s">
        <v>13</v>
      </c>
      <c r="B7" s="41">
        <v>45292</v>
      </c>
      <c r="C7" s="41">
        <v>45323</v>
      </c>
      <c r="D7" s="41">
        <v>45352</v>
      </c>
      <c r="E7" s="41">
        <v>45383</v>
      </c>
      <c r="F7" s="41">
        <v>45413</v>
      </c>
      <c r="G7" s="41">
        <v>45444</v>
      </c>
      <c r="I7" s="1"/>
    </row>
    <row r="8" spans="1:9" x14ac:dyDescent="0.25">
      <c r="A8" s="11" t="s">
        <v>26</v>
      </c>
      <c r="B8" s="12">
        <v>0</v>
      </c>
      <c r="C8" s="12">
        <v>5</v>
      </c>
      <c r="D8" s="12">
        <v>2</v>
      </c>
      <c r="E8" s="12">
        <v>1</v>
      </c>
      <c r="F8" s="12">
        <v>6</v>
      </c>
      <c r="G8" s="12">
        <v>2</v>
      </c>
      <c r="I8" s="1"/>
    </row>
    <row r="9" spans="1:9" x14ac:dyDescent="0.25">
      <c r="A9" s="13" t="s">
        <v>3</v>
      </c>
      <c r="B9" s="14">
        <v>4000</v>
      </c>
      <c r="C9" s="14">
        <v>4000</v>
      </c>
      <c r="D9" s="14">
        <v>4000</v>
      </c>
      <c r="E9" s="14">
        <v>4000</v>
      </c>
      <c r="F9" s="14">
        <v>4000</v>
      </c>
      <c r="G9" s="14">
        <v>4000</v>
      </c>
      <c r="I9" s="1"/>
    </row>
    <row r="10" spans="1:9" x14ac:dyDescent="0.25">
      <c r="A10" s="37" t="s">
        <v>25</v>
      </c>
      <c r="B10" s="42">
        <f>B8*B9</f>
        <v>0</v>
      </c>
      <c r="C10" s="42">
        <f>C8*C9</f>
        <v>20000</v>
      </c>
      <c r="D10" s="42">
        <f t="shared" ref="D10:E10" si="0">D8*D9</f>
        <v>8000</v>
      </c>
      <c r="E10" s="42">
        <f t="shared" si="0"/>
        <v>4000</v>
      </c>
      <c r="F10" s="42">
        <f>F8*F9</f>
        <v>24000</v>
      </c>
      <c r="G10" s="42">
        <f>G8*G9</f>
        <v>8000</v>
      </c>
      <c r="I10" s="1"/>
    </row>
    <row r="11" spans="1:9" x14ac:dyDescent="0.25">
      <c r="A11" s="38"/>
      <c r="B11" s="39"/>
      <c r="C11" s="39"/>
      <c r="D11" s="39"/>
      <c r="E11" s="39"/>
      <c r="F11" s="39"/>
      <c r="G11" s="39"/>
      <c r="I11" s="1"/>
    </row>
    <row r="12" spans="1:9" x14ac:dyDescent="0.25">
      <c r="A12" s="11" t="s">
        <v>26</v>
      </c>
      <c r="B12" s="12">
        <v>0</v>
      </c>
      <c r="C12" s="12">
        <v>1</v>
      </c>
      <c r="D12" s="12">
        <v>0</v>
      </c>
      <c r="E12" s="12">
        <v>2</v>
      </c>
      <c r="F12" s="12">
        <v>3</v>
      </c>
      <c r="G12" s="12">
        <v>1</v>
      </c>
      <c r="I12" s="1"/>
    </row>
    <row r="13" spans="1:9" x14ac:dyDescent="0.25">
      <c r="A13" s="13" t="s">
        <v>3</v>
      </c>
      <c r="B13" s="14">
        <v>1500</v>
      </c>
      <c r="C13" s="14">
        <v>1500</v>
      </c>
      <c r="D13" s="14">
        <v>1500</v>
      </c>
      <c r="E13" s="14">
        <v>1500</v>
      </c>
      <c r="F13" s="14">
        <v>1500</v>
      </c>
      <c r="G13" s="14">
        <v>1500</v>
      </c>
      <c r="I13" s="1"/>
    </row>
    <row r="14" spans="1:9" x14ac:dyDescent="0.25">
      <c r="A14" s="15" t="s">
        <v>27</v>
      </c>
      <c r="B14" s="16">
        <f>B12*B13</f>
        <v>0</v>
      </c>
      <c r="C14" s="16">
        <f t="shared" ref="C14:G14" si="1">C12*C13</f>
        <v>1500</v>
      </c>
      <c r="D14" s="16">
        <f t="shared" si="1"/>
        <v>0</v>
      </c>
      <c r="E14" s="16">
        <f t="shared" si="1"/>
        <v>3000</v>
      </c>
      <c r="F14" s="16">
        <f t="shared" si="1"/>
        <v>4500</v>
      </c>
      <c r="G14" s="16">
        <f t="shared" si="1"/>
        <v>1500</v>
      </c>
      <c r="I14" s="1"/>
    </row>
    <row r="15" spans="1:9" x14ac:dyDescent="0.25">
      <c r="A15" s="7"/>
      <c r="B15" s="8"/>
      <c r="C15" s="8"/>
      <c r="D15" s="8"/>
      <c r="E15" s="8"/>
      <c r="F15" s="8"/>
      <c r="G15" s="8"/>
      <c r="I15" s="1"/>
    </row>
    <row r="16" spans="1:9" x14ac:dyDescent="0.25">
      <c r="A16" s="9" t="s">
        <v>3</v>
      </c>
      <c r="B16" s="10">
        <f>(B8*B9) + (B12*B13)</f>
        <v>0</v>
      </c>
      <c r="C16" s="10">
        <f t="shared" ref="C16:G16" si="2">(C8*C9) + (C12*C13)</f>
        <v>21500</v>
      </c>
      <c r="D16" s="10">
        <f t="shared" si="2"/>
        <v>8000</v>
      </c>
      <c r="E16" s="10">
        <f t="shared" si="2"/>
        <v>7000</v>
      </c>
      <c r="F16" s="10">
        <f t="shared" si="2"/>
        <v>28500</v>
      </c>
      <c r="G16" s="10">
        <f t="shared" si="2"/>
        <v>9500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Análise Fluxo</vt:lpstr>
      <vt:lpstr>Faturamento</vt:lpstr>
    </vt:vector>
  </TitlesOfParts>
  <Company>Senac 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Pós-Graduação</dc:creator>
  <cp:lastModifiedBy>Vinicius Fernandes</cp:lastModifiedBy>
  <dcterms:created xsi:type="dcterms:W3CDTF">2011-04-09T17:34:42Z</dcterms:created>
  <dcterms:modified xsi:type="dcterms:W3CDTF">2023-11-10T20:04:02Z</dcterms:modified>
</cp:coreProperties>
</file>